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76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<sst xmlns="http://schemas.openxmlformats.org/spreadsheetml/2006/main" count="167" uniqueCount="36">
  <si>
    <t>自适应参数 + 遗传算法 + 2-opt</t>
  </si>
  <si>
    <t>第一次</t>
  </si>
  <si>
    <t>第二次</t>
  </si>
  <si>
    <t>第三次</t>
  </si>
  <si>
    <t>第四次</t>
  </si>
  <si>
    <t>第五次</t>
  </si>
  <si>
    <t>第六次</t>
  </si>
  <si>
    <t>第七次</t>
  </si>
  <si>
    <t>第八次</t>
  </si>
  <si>
    <t>第九次</t>
  </si>
  <si>
    <t>第十次</t>
  </si>
  <si>
    <t>平均值</t>
  </si>
  <si>
    <t>最优距离</t>
  </si>
  <si>
    <t>alpha: 1.0 → 1.99</t>
  </si>
  <si>
    <t>运行时间（s）</t>
  </si>
  <si>
    <t>beta: 2.0 → 1.52</t>
  </si>
  <si>
    <t>收敛次数(相邻两次迭代的最优距离之差小于0.01)</t>
  </si>
  <si>
    <t>无小回环</t>
  </si>
  <si>
    <t>首次迭代距离</t>
  </si>
  <si>
    <t>最后下降迭代</t>
  </si>
  <si>
    <t>(15,45)</t>
  </si>
  <si>
    <t>收缩距离</t>
  </si>
  <si>
    <t>自适应参数 + 遗传算法</t>
  </si>
  <si>
    <t>有回环</t>
  </si>
  <si>
    <t>(30,92)</t>
  </si>
  <si>
    <t>自适应参数 + 2-opt</t>
  </si>
  <si>
    <t>(13，82)</t>
  </si>
  <si>
    <t>遗传算法 + 2-opt</t>
  </si>
  <si>
    <t>自适应参数</t>
  </si>
  <si>
    <t>(21,80)</t>
  </si>
  <si>
    <t>遗传算法</t>
  </si>
  <si>
    <t>(51,99)</t>
  </si>
  <si>
    <t>2-opt</t>
  </si>
  <si>
    <t>(13,99)</t>
  </si>
  <si>
    <t>基本ACO</t>
  </si>
  <si>
    <t>(60,90)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</si>
</sst>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3"/>
  <sheetViews>
    <sheetView tabSelected="1" topLeftCell="A37" workbookViewId="0">
      <selection activeCell="A60" sqref="A60"/>
    </sheetView>
  </sheetViews>
  <sheetFormatPr defaultColWidth="8.88888888888889" defaultRowHeight="14.4"/>
  <cols>
    <col min="1" max="1" width="44" customWidth="1"/>
    <col min="12" max="12" width="12.8888888888889"/>
    <col min="14" max="14" width="23.8888888888889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4">
      <c r="A2" t="s">
        <v>12</v>
      </c>
      <c r="B2">
        <v>793.57</v>
      </c>
      <c r="C2">
        <v>792.48</v>
      </c>
      <c r="D2">
        <v>795.87</v>
      </c>
      <c r="E2">
        <v>794.99</v>
      </c>
      <c r="F2">
        <v>798.64</v>
      </c>
      <c r="G2">
        <v>804.19</v>
      </c>
      <c r="H2">
        <v>795.96</v>
      </c>
      <c r="I2">
        <v>792.75</v>
      </c>
      <c r="J2">
        <v>805.98</v>
      </c>
      <c r="K2">
        <v>800.09</v>
      </c>
      <c r="L2">
        <f t="shared" ref="L2:L7" si="0">AVERAGE(B2:K2)</f>
        <v>797.452</v>
      </c>
      <c r="N2" t="s">
        <v>13</v>
      </c>
    </row>
    <row r="3" spans="1:14">
      <c r="A3" t="s">
        <v>14</v>
      </c>
      <c r="B3">
        <v>38.75</v>
      </c>
      <c r="C3">
        <v>38.56</v>
      </c>
      <c r="D3">
        <v>41.12</v>
      </c>
      <c r="E3">
        <v>39.63</v>
      </c>
      <c r="F3">
        <v>39.6</v>
      </c>
      <c r="G3">
        <v>39.23</v>
      </c>
      <c r="H3">
        <v>40.59</v>
      </c>
      <c r="I3">
        <v>39.69</v>
      </c>
      <c r="J3">
        <v>40.45</v>
      </c>
      <c r="K3">
        <v>39.51</v>
      </c>
      <c r="L3">
        <f t="shared" si="0"/>
        <v>39.713</v>
      </c>
      <c r="N3" t="s">
        <v>15</v>
      </c>
    </row>
    <row r="4" spans="1:14">
      <c r="A4" t="s">
        <v>16</v>
      </c>
      <c r="B4">
        <v>2</v>
      </c>
      <c r="C4">
        <v>2</v>
      </c>
      <c r="D4">
        <v>1</v>
      </c>
      <c r="E4">
        <v>1</v>
      </c>
      <c r="F4">
        <v>4</v>
      </c>
      <c r="G4">
        <v>5</v>
      </c>
      <c r="H4">
        <v>3</v>
      </c>
      <c r="I4">
        <v>1</v>
      </c>
      <c r="J4">
        <v>1</v>
      </c>
      <c r="K4">
        <v>1</v>
      </c>
      <c r="L4">
        <f t="shared" si="0"/>
        <v>2.1</v>
      </c>
      <c r="N4" t="s">
        <v>17</v>
      </c>
    </row>
    <row r="5" spans="1:14">
      <c r="A5" t="s">
        <v>18</v>
      </c>
      <c r="B5">
        <v>845.3</v>
      </c>
      <c r="C5">
        <v>855.85</v>
      </c>
      <c r="D5">
        <v>852.9</v>
      </c>
      <c r="E5">
        <v>832.48</v>
      </c>
      <c r="F5">
        <v>901.04</v>
      </c>
      <c r="G5">
        <v>861.63</v>
      </c>
      <c r="H5">
        <v>844.92</v>
      </c>
      <c r="I5">
        <v>851.41</v>
      </c>
      <c r="J5">
        <v>850.12</v>
      </c>
      <c r="K5">
        <v>854.16</v>
      </c>
      <c r="L5">
        <f t="shared" si="0"/>
        <v>854.981</v>
      </c>
    </row>
    <row r="6" spans="1:14">
      <c r="A6" t="s">
        <v>19</v>
      </c>
      <c r="B6">
        <v>25</v>
      </c>
      <c r="C6">
        <v>43</v>
      </c>
      <c r="D6">
        <v>15</v>
      </c>
      <c r="E6">
        <v>45</v>
      </c>
      <c r="F6">
        <v>31</v>
      </c>
      <c r="G6">
        <v>26</v>
      </c>
      <c r="H6">
        <v>26</v>
      </c>
      <c r="I6">
        <v>33</v>
      </c>
      <c r="J6">
        <v>26</v>
      </c>
      <c r="K6">
        <v>29</v>
      </c>
      <c r="L6">
        <f t="shared" si="0"/>
        <v>29.9</v>
      </c>
      <c r="N6" t="s">
        <v>20</v>
      </c>
    </row>
    <row r="7" spans="1:14">
      <c r="A7" t="s">
        <v>21</v>
      </c>
      <c r="B7">
        <f t="shared" ref="B7:K7" si="1">B5-B2</f>
        <v>51.7299999999999</v>
      </c>
      <c r="C7">
        <f t="shared" si="1"/>
        <v>63.37</v>
      </c>
      <c r="D7">
        <f t="shared" si="1"/>
        <v>57.03</v>
      </c>
      <c r="E7">
        <f t="shared" si="1"/>
        <v>37.49</v>
      </c>
      <c r="F7">
        <f t="shared" si="1"/>
        <v>102.4</v>
      </c>
      <c r="G7">
        <f t="shared" si="1"/>
        <v>57.4399999999999</v>
      </c>
      <c r="H7">
        <f t="shared" si="1"/>
        <v>48.9599999999999</v>
      </c>
      <c r="I7">
        <f t="shared" si="1"/>
        <v>58.66</v>
      </c>
      <c r="J7">
        <f t="shared" si="1"/>
        <v>44.14</v>
      </c>
      <c r="K7">
        <f t="shared" si="1"/>
        <v>54.0699999999999</v>
      </c>
      <c r="L7">
        <f t="shared" si="0"/>
        <v>57.529</v>
      </c>
    </row>
    <row r="9" spans="1:14">
      <c r="A9" t="s">
        <v>22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t="s">
        <v>7</v>
      </c>
      <c r="I9" t="s">
        <v>8</v>
      </c>
      <c r="J9" t="s">
        <v>9</v>
      </c>
      <c r="K9" t="s">
        <v>10</v>
      </c>
      <c r="L9" t="s">
        <v>11</v>
      </c>
    </row>
    <row r="10" spans="1:14">
      <c r="A10" t="s">
        <v>12</v>
      </c>
      <c r="B10">
        <v>830.26</v>
      </c>
      <c r="C10">
        <v>818.68</v>
      </c>
      <c r="D10">
        <v>841.22</v>
      </c>
      <c r="E10">
        <v>820.96</v>
      </c>
      <c r="F10">
        <v>825.01</v>
      </c>
      <c r="G10">
        <v>835.63</v>
      </c>
      <c r="H10">
        <v>834.21</v>
      </c>
      <c r="I10">
        <v>829.51</v>
      </c>
      <c r="J10">
        <v>822.56</v>
      </c>
      <c r="K10">
        <v>836.1</v>
      </c>
      <c r="L10">
        <f t="shared" ref="L10:L15" si="2">AVERAGE(B10:K10)</f>
        <v>829.414</v>
      </c>
      <c r="N10" t="s">
        <v>13</v>
      </c>
    </row>
    <row r="11" spans="1:14">
      <c r="A11" t="s">
        <v>14</v>
      </c>
      <c r="B11">
        <v>35.86</v>
      </c>
      <c r="C11">
        <v>34.46</v>
      </c>
      <c r="D11">
        <v>35.48</v>
      </c>
      <c r="E11">
        <v>35.05</v>
      </c>
      <c r="F11">
        <v>35.11</v>
      </c>
      <c r="G11">
        <v>38.08</v>
      </c>
      <c r="H11">
        <v>37.16</v>
      </c>
      <c r="I11">
        <v>36.34</v>
      </c>
      <c r="J11">
        <v>37.62</v>
      </c>
      <c r="K11">
        <v>36.06</v>
      </c>
      <c r="L11">
        <f t="shared" si="2"/>
        <v>36.122</v>
      </c>
      <c r="N11" t="s">
        <v>15</v>
      </c>
    </row>
    <row r="12" spans="1:14">
      <c r="A12" t="s">
        <v>16</v>
      </c>
      <c r="B12">
        <v>5</v>
      </c>
      <c r="C12">
        <v>6</v>
      </c>
      <c r="D12">
        <v>7</v>
      </c>
      <c r="E12">
        <v>5</v>
      </c>
      <c r="F12">
        <v>2</v>
      </c>
      <c r="G12">
        <v>7</v>
      </c>
      <c r="H12">
        <v>5</v>
      </c>
      <c r="I12">
        <v>6</v>
      </c>
      <c r="J12">
        <v>5</v>
      </c>
      <c r="K12">
        <v>4</v>
      </c>
      <c r="L12">
        <f t="shared" si="2"/>
        <v>5.2</v>
      </c>
      <c r="N12" t="s">
        <v>23</v>
      </c>
    </row>
    <row r="13" spans="1:14">
      <c r="A13" t="s">
        <v>18</v>
      </c>
      <c r="B13">
        <v>1231.21</v>
      </c>
      <c r="C13">
        <v>1297.25</v>
      </c>
      <c r="D13">
        <v>1245.6</v>
      </c>
      <c r="E13">
        <v>1393.5</v>
      </c>
      <c r="F13">
        <v>1287.34</v>
      </c>
      <c r="G13">
        <v>1302.31</v>
      </c>
      <c r="H13">
        <v>1361.22</v>
      </c>
      <c r="I13">
        <v>1322.58</v>
      </c>
      <c r="J13">
        <v>1320.33</v>
      </c>
      <c r="K13">
        <v>1335.39</v>
      </c>
      <c r="L13">
        <f t="shared" si="2"/>
        <v>1309.673</v>
      </c>
    </row>
    <row r="14" spans="1:14">
      <c r="A14" t="s">
        <v>19</v>
      </c>
      <c r="B14">
        <v>59</v>
      </c>
      <c r="C14">
        <v>41</v>
      </c>
      <c r="D14">
        <v>68</v>
      </c>
      <c r="E14">
        <v>30</v>
      </c>
      <c r="F14">
        <v>88</v>
      </c>
      <c r="G14">
        <v>36</v>
      </c>
      <c r="H14">
        <v>92</v>
      </c>
      <c r="I14">
        <v>43</v>
      </c>
      <c r="J14">
        <v>47</v>
      </c>
      <c r="K14">
        <v>65</v>
      </c>
      <c r="L14">
        <f t="shared" si="2"/>
        <v>56.9</v>
      </c>
      <c r="N14" t="s">
        <v>24</v>
      </c>
    </row>
    <row r="15" spans="1:14">
      <c r="A15" t="s">
        <v>21</v>
      </c>
      <c r="B15">
        <f t="shared" ref="B15:K15" si="3">B13-B10</f>
        <v>400.95</v>
      </c>
      <c r="C15">
        <f t="shared" si="3"/>
        <v>478.57</v>
      </c>
      <c r="D15">
        <f t="shared" si="3"/>
        <v>404.38</v>
      </c>
      <c r="E15">
        <f t="shared" si="3"/>
        <v>572.54</v>
      </c>
      <c r="F15">
        <f t="shared" si="3"/>
        <v>462.33</v>
      </c>
      <c r="G15">
        <f t="shared" si="3"/>
        <v>466.68</v>
      </c>
      <c r="H15">
        <f t="shared" si="3"/>
        <v>527.01</v>
      </c>
      <c r="I15">
        <f t="shared" si="3"/>
        <v>493.07</v>
      </c>
      <c r="J15">
        <f t="shared" si="3"/>
        <v>497.77</v>
      </c>
      <c r="K15">
        <f t="shared" si="3"/>
        <v>499.29</v>
      </c>
      <c r="L15">
        <f t="shared" si="2"/>
        <v>480.259</v>
      </c>
    </row>
    <row r="17" spans="1:14">
      <c r="A17" t="s">
        <v>25</v>
      </c>
      <c r="B17" t="s">
        <v>1</v>
      </c>
      <c r="C17" t="s">
        <v>2</v>
      </c>
      <c r="D17" t="s">
        <v>3</v>
      </c>
      <c r="E17" t="s">
        <v>4</v>
      </c>
      <c r="F17" t="s">
        <v>5</v>
      </c>
      <c r="G17" t="s">
        <v>6</v>
      </c>
      <c r="H17" t="s">
        <v>7</v>
      </c>
      <c r="I17" t="s">
        <v>8</v>
      </c>
      <c r="J17" t="s">
        <v>9</v>
      </c>
      <c r="K17" t="s">
        <v>10</v>
      </c>
      <c r="L17" t="s">
        <v>11</v>
      </c>
    </row>
    <row r="18" spans="1:14">
      <c r="A18" t="s">
        <v>12</v>
      </c>
      <c r="B18">
        <v>797.12</v>
      </c>
      <c r="C18">
        <v>797.79</v>
      </c>
      <c r="D18">
        <v>792.75</v>
      </c>
      <c r="E18">
        <v>797.68</v>
      </c>
      <c r="F18">
        <v>799.36</v>
      </c>
      <c r="G18">
        <v>796.4</v>
      </c>
      <c r="H18">
        <v>800.66</v>
      </c>
      <c r="I18">
        <v>800.96</v>
      </c>
      <c r="J18">
        <v>797.09</v>
      </c>
      <c r="K18">
        <v>796.99</v>
      </c>
      <c r="L18">
        <f t="shared" ref="L18:L23" si="4">AVERAGE(B18:K18)</f>
        <v>797.68</v>
      </c>
      <c r="N18" t="s">
        <v>13</v>
      </c>
    </row>
    <row r="19" spans="1:14">
      <c r="A19" t="s">
        <v>14</v>
      </c>
      <c r="B19">
        <v>43.78</v>
      </c>
      <c r="C19">
        <v>43.15</v>
      </c>
      <c r="D19">
        <v>43.47</v>
      </c>
      <c r="E19">
        <v>44.03</v>
      </c>
      <c r="F19">
        <v>43.9</v>
      </c>
      <c r="G19">
        <v>42.86</v>
      </c>
      <c r="H19">
        <v>44.24</v>
      </c>
      <c r="I19">
        <v>43.76</v>
      </c>
      <c r="J19">
        <v>43.84</v>
      </c>
      <c r="K19">
        <v>44.61</v>
      </c>
      <c r="L19">
        <f t="shared" si="4"/>
        <v>43.764</v>
      </c>
      <c r="N19" t="s">
        <v>15</v>
      </c>
    </row>
    <row r="20" spans="1:14">
      <c r="A20" t="s">
        <v>16</v>
      </c>
      <c r="B20">
        <v>5</v>
      </c>
      <c r="C20">
        <v>3</v>
      </c>
      <c r="D20">
        <v>1</v>
      </c>
      <c r="E20">
        <v>2</v>
      </c>
      <c r="F20">
        <v>3</v>
      </c>
      <c r="G20">
        <v>2</v>
      </c>
      <c r="H20">
        <v>3</v>
      </c>
      <c r="I20">
        <v>3</v>
      </c>
      <c r="J20">
        <v>1</v>
      </c>
      <c r="K20">
        <v>2</v>
      </c>
      <c r="L20">
        <f t="shared" si="4"/>
        <v>2.5</v>
      </c>
      <c r="N20" t="s">
        <v>17</v>
      </c>
    </row>
    <row r="21" spans="1:14">
      <c r="A21" t="s">
        <v>18</v>
      </c>
      <c r="B21">
        <v>841.85</v>
      </c>
      <c r="C21">
        <v>838.61</v>
      </c>
      <c r="D21">
        <v>834.22</v>
      </c>
      <c r="E21">
        <v>845.2</v>
      </c>
      <c r="F21">
        <v>834.97</v>
      </c>
      <c r="G21">
        <v>837.64</v>
      </c>
      <c r="H21">
        <v>838.63</v>
      </c>
      <c r="I21">
        <v>838.85</v>
      </c>
      <c r="J21">
        <v>827.11</v>
      </c>
      <c r="K21">
        <v>851.49</v>
      </c>
      <c r="L21">
        <f t="shared" si="4"/>
        <v>838.857</v>
      </c>
    </row>
    <row r="22" spans="1:14">
      <c r="A22" t="s">
        <v>19</v>
      </c>
      <c r="B22">
        <v>16</v>
      </c>
      <c r="C22">
        <v>17</v>
      </c>
      <c r="D22">
        <v>74</v>
      </c>
      <c r="E22">
        <v>47</v>
      </c>
      <c r="F22">
        <v>49</v>
      </c>
      <c r="G22">
        <v>60</v>
      </c>
      <c r="H22">
        <v>13</v>
      </c>
      <c r="I22">
        <v>34</v>
      </c>
      <c r="J22">
        <v>41</v>
      </c>
      <c r="K22">
        <v>82</v>
      </c>
      <c r="L22">
        <f t="shared" si="4"/>
        <v>43.3</v>
      </c>
      <c r="N22" t="s">
        <v>26</v>
      </c>
    </row>
    <row r="23" spans="1:14">
      <c r="A23" t="s">
        <v>21</v>
      </c>
      <c r="B23">
        <f t="shared" ref="B23:K23" si="5">B21-B18</f>
        <v>44.73</v>
      </c>
      <c r="C23">
        <f t="shared" si="5"/>
        <v>40.8200000000001</v>
      </c>
      <c r="D23">
        <f t="shared" si="5"/>
        <v>41.47</v>
      </c>
      <c r="E23">
        <f t="shared" si="5"/>
        <v>47.5200000000001</v>
      </c>
      <c r="F23">
        <f t="shared" si="5"/>
        <v>35.61</v>
      </c>
      <c r="G23">
        <f t="shared" si="5"/>
        <v>41.24</v>
      </c>
      <c r="H23">
        <f t="shared" si="5"/>
        <v>37.97</v>
      </c>
      <c r="I23">
        <f t="shared" si="5"/>
        <v>37.89</v>
      </c>
      <c r="J23">
        <f t="shared" si="5"/>
        <v>30.02</v>
      </c>
      <c r="K23">
        <f t="shared" si="5"/>
        <v>54.5</v>
      </c>
      <c r="L23">
        <f t="shared" si="4"/>
        <v>41.177</v>
      </c>
    </row>
    <row r="25" spans="1:14">
      <c r="A25" t="s">
        <v>27</v>
      </c>
      <c r="B25" t="s">
        <v>1</v>
      </c>
      <c r="C25" t="s">
        <v>2</v>
      </c>
      <c r="D25" t="s">
        <v>3</v>
      </c>
      <c r="E25" t="s">
        <v>4</v>
      </c>
      <c r="F25" t="s">
        <v>5</v>
      </c>
      <c r="G25" t="s">
        <v>6</v>
      </c>
      <c r="H25" t="s">
        <v>7</v>
      </c>
      <c r="I25" t="s">
        <v>8</v>
      </c>
      <c r="J25" t="s">
        <v>9</v>
      </c>
      <c r="K25" t="s">
        <v>10</v>
      </c>
      <c r="L25" t="s">
        <v>11</v>
      </c>
    </row>
    <row r="26" spans="1:14">
      <c r="A26" t="s">
        <v>12</v>
      </c>
      <c r="B26">
        <v>798.54</v>
      </c>
      <c r="C26">
        <v>798</v>
      </c>
      <c r="D26">
        <v>793.26</v>
      </c>
      <c r="E26">
        <v>794.67</v>
      </c>
      <c r="F26">
        <v>804.65</v>
      </c>
      <c r="G26">
        <v>792.48</v>
      </c>
      <c r="H26">
        <v>793.26</v>
      </c>
      <c r="I26">
        <v>792.48</v>
      </c>
      <c r="J26">
        <v>792.48</v>
      </c>
      <c r="K26">
        <v>792.48</v>
      </c>
      <c r="L26">
        <f t="shared" ref="L26:L31" si="6">AVERAGE(B26:K26)</f>
        <v>795.23</v>
      </c>
    </row>
    <row r="27" spans="1:14">
      <c r="A27" t="s">
        <v>14</v>
      </c>
      <c r="B27">
        <v>40.52</v>
      </c>
      <c r="C27">
        <v>39.4</v>
      </c>
      <c r="D27">
        <v>40.81</v>
      </c>
      <c r="E27">
        <v>39.26</v>
      </c>
      <c r="F27">
        <v>39.89</v>
      </c>
      <c r="G27">
        <v>40.78</v>
      </c>
      <c r="H27">
        <v>39.35</v>
      </c>
      <c r="I27">
        <v>39.25</v>
      </c>
      <c r="J27">
        <v>39.73</v>
      </c>
      <c r="K27">
        <v>39.51</v>
      </c>
      <c r="L27">
        <f t="shared" si="6"/>
        <v>39.85</v>
      </c>
    </row>
    <row r="28" spans="1:14">
      <c r="A28" t="s">
        <v>16</v>
      </c>
      <c r="B28">
        <v>1</v>
      </c>
      <c r="C28">
        <v>1</v>
      </c>
      <c r="D28">
        <v>2</v>
      </c>
      <c r="E28">
        <v>4</v>
      </c>
      <c r="F28">
        <v>1</v>
      </c>
      <c r="G28">
        <v>1</v>
      </c>
      <c r="H28">
        <v>2</v>
      </c>
      <c r="I28">
        <v>6</v>
      </c>
      <c r="J28">
        <v>1</v>
      </c>
      <c r="K28">
        <v>2</v>
      </c>
      <c r="L28">
        <f t="shared" si="6"/>
        <v>2.1</v>
      </c>
      <c r="N28" t="s">
        <v>17</v>
      </c>
    </row>
    <row r="29" spans="1:14">
      <c r="A29" t="s">
        <v>18</v>
      </c>
      <c r="B29">
        <v>860.8</v>
      </c>
      <c r="C29">
        <v>840.45</v>
      </c>
      <c r="D29">
        <v>890.11</v>
      </c>
      <c r="E29">
        <v>903.49</v>
      </c>
      <c r="F29">
        <v>849.69</v>
      </c>
      <c r="G29">
        <v>823.21</v>
      </c>
      <c r="H29">
        <v>847.85</v>
      </c>
      <c r="I29">
        <v>883.33</v>
      </c>
      <c r="J29">
        <v>845.15</v>
      </c>
      <c r="K29">
        <v>845.35</v>
      </c>
      <c r="L29">
        <f t="shared" si="6"/>
        <v>858.943</v>
      </c>
    </row>
    <row r="30" spans="1:14">
      <c r="A30" t="s">
        <v>19</v>
      </c>
      <c r="B30">
        <v>54</v>
      </c>
      <c r="C30">
        <v>25</v>
      </c>
      <c r="D30">
        <v>61</v>
      </c>
      <c r="E30">
        <v>34</v>
      </c>
      <c r="F30">
        <v>42</v>
      </c>
      <c r="G30">
        <v>95</v>
      </c>
      <c r="H30">
        <v>31</v>
      </c>
      <c r="I30">
        <v>41</v>
      </c>
      <c r="J30">
        <v>44</v>
      </c>
      <c r="K30">
        <v>38</v>
      </c>
      <c r="L30">
        <f t="shared" si="6"/>
        <v>46.5</v>
      </c>
    </row>
    <row r="31" spans="1:14">
      <c r="A31" t="s">
        <v>21</v>
      </c>
      <c r="B31">
        <f t="shared" ref="B31:K31" si="7">B29-B26</f>
        <v>62.26</v>
      </c>
      <c r="C31">
        <f t="shared" si="7"/>
        <v>42.45</v>
      </c>
      <c r="D31">
        <f t="shared" si="7"/>
        <v>96.85</v>
      </c>
      <c r="E31">
        <f t="shared" si="7"/>
        <v>108.82</v>
      </c>
      <c r="F31">
        <f t="shared" si="7"/>
        <v>45.0400000000001</v>
      </c>
      <c r="G31">
        <f t="shared" si="7"/>
        <v>30.73</v>
      </c>
      <c r="H31">
        <f t="shared" si="7"/>
        <v>54.59</v>
      </c>
      <c r="I31">
        <f t="shared" si="7"/>
        <v>90.85</v>
      </c>
      <c r="J31">
        <f t="shared" si="7"/>
        <v>52.67</v>
      </c>
      <c r="K31">
        <f t="shared" si="7"/>
        <v>52.87</v>
      </c>
      <c r="L31">
        <f t="shared" si="6"/>
        <v>63.713</v>
      </c>
    </row>
    <row r="33" spans="1:14">
      <c r="A33" t="s">
        <v>28</v>
      </c>
      <c r="B33" t="s">
        <v>1</v>
      </c>
      <c r="C33" t="s">
        <v>2</v>
      </c>
      <c r="D33" t="s">
        <v>3</v>
      </c>
      <c r="E33" t="s">
        <v>4</v>
      </c>
      <c r="F33" t="s">
        <v>5</v>
      </c>
      <c r="G33" t="s">
        <v>6</v>
      </c>
      <c r="H33" t="s">
        <v>7</v>
      </c>
      <c r="I33" t="s">
        <v>8</v>
      </c>
      <c r="J33" t="s">
        <v>9</v>
      </c>
      <c r="K33" t="s">
        <v>10</v>
      </c>
      <c r="L33" t="s">
        <v>11</v>
      </c>
    </row>
    <row r="34" spans="1:14">
      <c r="A34" t="s">
        <v>12</v>
      </c>
      <c r="B34">
        <v>861.07</v>
      </c>
      <c r="C34">
        <v>846.56</v>
      </c>
      <c r="D34">
        <v>838.48</v>
      </c>
      <c r="E34">
        <v>845.68</v>
      </c>
      <c r="F34">
        <v>847.72</v>
      </c>
      <c r="G34">
        <v>854.3</v>
      </c>
      <c r="H34">
        <v>860.11</v>
      </c>
      <c r="I34">
        <v>852.61</v>
      </c>
      <c r="J34">
        <v>856.31</v>
      </c>
      <c r="K34">
        <v>850.46</v>
      </c>
      <c r="L34">
        <f t="shared" ref="L34:L39" si="8">AVERAGE(B34:K34)</f>
        <v>851.33</v>
      </c>
      <c r="N34" t="s">
        <v>13</v>
      </c>
    </row>
    <row r="35" spans="1:14">
      <c r="A35" t="s">
        <v>14</v>
      </c>
      <c r="B35">
        <v>33.98</v>
      </c>
      <c r="C35">
        <v>34.78</v>
      </c>
      <c r="D35">
        <v>34.07</v>
      </c>
      <c r="E35">
        <v>34.2</v>
      </c>
      <c r="F35">
        <v>34.44</v>
      </c>
      <c r="G35">
        <v>34.69</v>
      </c>
      <c r="H35">
        <v>34.26</v>
      </c>
      <c r="I35">
        <v>34.5</v>
      </c>
      <c r="J35">
        <v>34.77</v>
      </c>
      <c r="K35">
        <v>33.97</v>
      </c>
      <c r="L35">
        <f t="shared" si="8"/>
        <v>34.366</v>
      </c>
      <c r="N35" t="s">
        <v>15</v>
      </c>
    </row>
    <row r="36" spans="1:14">
      <c r="A36" t="s">
        <v>16</v>
      </c>
      <c r="B36">
        <v>4</v>
      </c>
      <c r="C36">
        <v>8</v>
      </c>
      <c r="D36">
        <v>5</v>
      </c>
      <c r="E36">
        <v>7</v>
      </c>
      <c r="F36">
        <v>6</v>
      </c>
      <c r="G36">
        <v>3</v>
      </c>
      <c r="H36">
        <v>5</v>
      </c>
      <c r="I36">
        <v>5</v>
      </c>
      <c r="J36">
        <v>6</v>
      </c>
      <c r="K36">
        <v>8</v>
      </c>
      <c r="L36">
        <f t="shared" si="8"/>
        <v>5.7</v>
      </c>
      <c r="N36" t="s">
        <v>23</v>
      </c>
    </row>
    <row r="37" spans="1:14">
      <c r="A37" t="s">
        <v>18</v>
      </c>
      <c r="B37">
        <v>1244.48</v>
      </c>
      <c r="C37">
        <v>1382.66</v>
      </c>
      <c r="D37">
        <v>1342.11</v>
      </c>
      <c r="E37">
        <v>1312.05</v>
      </c>
      <c r="F37">
        <v>1230.85</v>
      </c>
      <c r="G37">
        <v>1296.84</v>
      </c>
      <c r="H37">
        <v>1349.59</v>
      </c>
      <c r="I37">
        <v>1311.23</v>
      </c>
      <c r="J37">
        <v>1238.86</v>
      </c>
      <c r="K37">
        <v>1388.35</v>
      </c>
      <c r="L37">
        <f t="shared" si="8"/>
        <v>1309.702</v>
      </c>
    </row>
    <row r="38" spans="1:14">
      <c r="A38" t="s">
        <v>19</v>
      </c>
      <c r="B38">
        <v>30</v>
      </c>
      <c r="C38">
        <v>69</v>
      </c>
      <c r="D38">
        <v>35</v>
      </c>
      <c r="E38">
        <v>64</v>
      </c>
      <c r="F38">
        <v>47</v>
      </c>
      <c r="G38">
        <v>40</v>
      </c>
      <c r="H38">
        <v>80</v>
      </c>
      <c r="I38">
        <v>35</v>
      </c>
      <c r="J38">
        <v>21</v>
      </c>
      <c r="K38">
        <v>44</v>
      </c>
      <c r="L38">
        <f t="shared" si="8"/>
        <v>46.5</v>
      </c>
      <c r="N38" t="s">
        <v>29</v>
      </c>
    </row>
    <row r="39" spans="1:14">
      <c r="A39" t="s">
        <v>21</v>
      </c>
      <c r="B39">
        <f t="shared" ref="B39:K39" si="9">B37-B34</f>
        <v>383.41</v>
      </c>
      <c r="C39">
        <f t="shared" si="9"/>
        <v>536.1</v>
      </c>
      <c r="D39">
        <f t="shared" si="9"/>
        <v>503.63</v>
      </c>
      <c r="E39">
        <f t="shared" si="9"/>
        <v>466.37</v>
      </c>
      <c r="F39">
        <f t="shared" si="9"/>
        <v>383.13</v>
      </c>
      <c r="G39">
        <f t="shared" si="9"/>
        <v>442.54</v>
      </c>
      <c r="H39">
        <f t="shared" si="9"/>
        <v>489.48</v>
      </c>
      <c r="I39">
        <f t="shared" si="9"/>
        <v>458.62</v>
      </c>
      <c r="J39">
        <f t="shared" si="9"/>
        <v>382.55</v>
      </c>
      <c r="K39">
        <f t="shared" si="9"/>
        <v>537.89</v>
      </c>
      <c r="L39">
        <f t="shared" si="8"/>
        <v>458.372</v>
      </c>
    </row>
    <row r="41" spans="1:14">
      <c r="A41" t="s">
        <v>30</v>
      </c>
      <c r="B41" t="s">
        <v>1</v>
      </c>
      <c r="C41" t="s">
        <v>2</v>
      </c>
      <c r="D41" t="s">
        <v>3</v>
      </c>
      <c r="E41" t="s">
        <v>4</v>
      </c>
      <c r="F41" t="s">
        <v>5</v>
      </c>
      <c r="G41" t="s">
        <v>6</v>
      </c>
      <c r="H41" t="s">
        <v>7</v>
      </c>
      <c r="I41" t="s">
        <v>8</v>
      </c>
      <c r="J41" t="s">
        <v>9</v>
      </c>
      <c r="K41" t="s">
        <v>10</v>
      </c>
      <c r="L41" t="s">
        <v>11</v>
      </c>
    </row>
    <row r="42" spans="1:14">
      <c r="A42" t="s">
        <v>12</v>
      </c>
      <c r="B42">
        <v>848.16</v>
      </c>
      <c r="C42">
        <v>844.24</v>
      </c>
      <c r="D42">
        <v>841.55</v>
      </c>
      <c r="E42">
        <v>830.8</v>
      </c>
      <c r="F42">
        <v>809.12</v>
      </c>
      <c r="G42">
        <v>839.81</v>
      </c>
      <c r="H42">
        <v>831.91</v>
      </c>
      <c r="I42">
        <v>838.59</v>
      </c>
      <c r="J42">
        <v>814.99</v>
      </c>
      <c r="K42">
        <v>815.03</v>
      </c>
      <c r="L42">
        <f t="shared" ref="L42:L47" si="10">AVERAGE(B42:K42)</f>
        <v>831.42</v>
      </c>
    </row>
    <row r="43" spans="1:14">
      <c r="A43" t="s">
        <v>14</v>
      </c>
      <c r="B43">
        <v>35.24</v>
      </c>
      <c r="C43">
        <v>35.42</v>
      </c>
      <c r="D43">
        <v>34.41</v>
      </c>
      <c r="E43">
        <v>35.03</v>
      </c>
      <c r="F43">
        <v>35.03</v>
      </c>
      <c r="G43">
        <v>35.07</v>
      </c>
      <c r="H43">
        <v>35.06</v>
      </c>
      <c r="I43">
        <v>34.78</v>
      </c>
      <c r="J43">
        <v>35.76</v>
      </c>
      <c r="K43">
        <v>34.87</v>
      </c>
      <c r="L43">
        <f t="shared" si="10"/>
        <v>35.067</v>
      </c>
    </row>
    <row r="44" spans="1:14">
      <c r="A44" t="s">
        <v>16</v>
      </c>
      <c r="B44">
        <v>9</v>
      </c>
      <c r="C44">
        <v>6</v>
      </c>
      <c r="D44">
        <v>6</v>
      </c>
      <c r="E44">
        <v>8</v>
      </c>
      <c r="F44">
        <v>5</v>
      </c>
      <c r="G44">
        <v>7</v>
      </c>
      <c r="H44">
        <v>8</v>
      </c>
      <c r="I44">
        <v>9</v>
      </c>
      <c r="J44">
        <v>8</v>
      </c>
      <c r="K44">
        <v>10</v>
      </c>
      <c r="L44">
        <f t="shared" si="10"/>
        <v>7.6</v>
      </c>
      <c r="N44" t="s">
        <v>23</v>
      </c>
    </row>
    <row r="45" spans="1:14">
      <c r="A45" t="s">
        <v>18</v>
      </c>
      <c r="B45">
        <v>1766.02</v>
      </c>
      <c r="C45">
        <v>1886.18</v>
      </c>
      <c r="D45">
        <v>1804.62</v>
      </c>
      <c r="E45">
        <v>1843.44</v>
      </c>
      <c r="F45">
        <v>1830.3</v>
      </c>
      <c r="G45">
        <v>1849.39</v>
      </c>
      <c r="H45">
        <v>1882.53</v>
      </c>
      <c r="I45">
        <v>1870.96</v>
      </c>
      <c r="J45">
        <v>1812.25</v>
      </c>
      <c r="K45">
        <v>1789.77</v>
      </c>
      <c r="L45">
        <f t="shared" si="10"/>
        <v>1833.546</v>
      </c>
    </row>
    <row r="46" spans="1:14">
      <c r="A46" t="s">
        <v>19</v>
      </c>
      <c r="B46">
        <v>53</v>
      </c>
      <c r="C46">
        <v>63</v>
      </c>
      <c r="D46">
        <v>95</v>
      </c>
      <c r="E46">
        <v>59</v>
      </c>
      <c r="F46">
        <v>94</v>
      </c>
      <c r="G46">
        <v>51</v>
      </c>
      <c r="H46">
        <v>72</v>
      </c>
      <c r="I46">
        <v>46</v>
      </c>
      <c r="J46">
        <v>98</v>
      </c>
      <c r="K46">
        <v>99</v>
      </c>
      <c r="L46">
        <f t="shared" si="10"/>
        <v>73</v>
      </c>
      <c r="N46" t="s">
        <v>31</v>
      </c>
    </row>
    <row r="47" spans="1:14">
      <c r="A47" t="s">
        <v>21</v>
      </c>
      <c r="B47">
        <f t="shared" ref="B47:K47" si="11">B45-B42</f>
        <v>917.86</v>
      </c>
      <c r="C47">
        <f t="shared" si="11"/>
        <v>1041.94</v>
      </c>
      <c r="D47">
        <f t="shared" si="11"/>
        <v>963.07</v>
      </c>
      <c r="E47">
        <f t="shared" si="11"/>
        <v>1012.64</v>
      </c>
      <c r="F47">
        <f t="shared" si="11"/>
        <v>1021.18</v>
      </c>
      <c r="G47">
        <f t="shared" si="11"/>
        <v>1009.58</v>
      </c>
      <c r="H47">
        <f t="shared" si="11"/>
        <v>1050.62</v>
      </c>
      <c r="I47">
        <f t="shared" si="11"/>
        <v>1032.37</v>
      </c>
      <c r="J47">
        <f t="shared" si="11"/>
        <v>997.26</v>
      </c>
      <c r="K47">
        <f t="shared" si="11"/>
        <v>974.74</v>
      </c>
      <c r="L47">
        <f t="shared" si="10"/>
        <v>1002.126</v>
      </c>
    </row>
    <row r="49" spans="1:14">
      <c r="A49" t="s">
        <v>32</v>
      </c>
      <c r="B49" t="s">
        <v>1</v>
      </c>
      <c r="C49" t="s">
        <v>2</v>
      </c>
      <c r="D49" t="s">
        <v>3</v>
      </c>
      <c r="E49" t="s">
        <v>4</v>
      </c>
      <c r="F49" t="s">
        <v>5</v>
      </c>
      <c r="G49" t="s">
        <v>6</v>
      </c>
      <c r="H49" t="s">
        <v>7</v>
      </c>
      <c r="I49" t="s">
        <v>8</v>
      </c>
      <c r="J49" t="s">
        <v>9</v>
      </c>
      <c r="K49" t="s">
        <v>10</v>
      </c>
      <c r="L49" t="s">
        <v>11</v>
      </c>
    </row>
    <row r="50" spans="1:14">
      <c r="A50" t="s">
        <v>12</v>
      </c>
      <c r="B50">
        <v>796.33</v>
      </c>
      <c r="C50">
        <v>796.98</v>
      </c>
      <c r="D50">
        <v>798.27</v>
      </c>
      <c r="E50">
        <v>795.79</v>
      </c>
      <c r="F50">
        <v>799.2</v>
      </c>
      <c r="G50">
        <v>797.26</v>
      </c>
      <c r="H50">
        <v>802.61</v>
      </c>
      <c r="I50">
        <v>801.2</v>
      </c>
      <c r="J50">
        <v>797.55</v>
      </c>
      <c r="K50">
        <v>796.99</v>
      </c>
      <c r="L50">
        <f t="shared" ref="L50:L55" si="12">AVERAGE(B50:K50)</f>
        <v>798.218</v>
      </c>
    </row>
    <row r="51" spans="1:14">
      <c r="A51" t="s">
        <v>14</v>
      </c>
      <c r="B51">
        <v>43.97</v>
      </c>
      <c r="C51">
        <v>44.19</v>
      </c>
      <c r="D51">
        <v>43.68</v>
      </c>
      <c r="E51">
        <v>43.97</v>
      </c>
      <c r="F51">
        <v>44.24</v>
      </c>
      <c r="G51">
        <v>45.19</v>
      </c>
      <c r="H51">
        <v>43.9</v>
      </c>
      <c r="I51">
        <v>43.94</v>
      </c>
      <c r="J51">
        <v>43.61</v>
      </c>
      <c r="K51">
        <v>43.86</v>
      </c>
      <c r="L51">
        <f t="shared" si="12"/>
        <v>44.055</v>
      </c>
    </row>
    <row r="52" spans="1:14">
      <c r="A52" t="s">
        <v>16</v>
      </c>
      <c r="B52">
        <v>2</v>
      </c>
      <c r="C52">
        <v>4</v>
      </c>
      <c r="D52">
        <v>2</v>
      </c>
      <c r="E52">
        <v>1</v>
      </c>
      <c r="F52">
        <v>4</v>
      </c>
      <c r="G52">
        <v>1</v>
      </c>
      <c r="H52">
        <v>2</v>
      </c>
      <c r="I52">
        <v>2</v>
      </c>
      <c r="J52">
        <v>1</v>
      </c>
      <c r="K52">
        <v>1</v>
      </c>
      <c r="L52">
        <f t="shared" si="12"/>
        <v>2</v>
      </c>
      <c r="N52" t="s">
        <v>17</v>
      </c>
    </row>
    <row r="53" spans="1:14">
      <c r="A53" t="s">
        <v>18</v>
      </c>
      <c r="B53">
        <v>829.28</v>
      </c>
      <c r="C53">
        <v>848.88</v>
      </c>
      <c r="D53">
        <v>850.95</v>
      </c>
      <c r="E53">
        <v>841.7</v>
      </c>
      <c r="F53">
        <v>870.22</v>
      </c>
      <c r="G53">
        <v>832.4</v>
      </c>
      <c r="H53">
        <v>837.67</v>
      </c>
      <c r="I53">
        <v>824.57</v>
      </c>
      <c r="J53">
        <v>832.49</v>
      </c>
      <c r="K53">
        <v>841.52</v>
      </c>
      <c r="L53">
        <f t="shared" si="12"/>
        <v>840.968</v>
      </c>
    </row>
    <row r="54" spans="1:14">
      <c r="A54" t="s">
        <v>19</v>
      </c>
      <c r="B54">
        <v>98</v>
      </c>
      <c r="C54">
        <v>83</v>
      </c>
      <c r="D54">
        <v>13</v>
      </c>
      <c r="E54">
        <v>78</v>
      </c>
      <c r="F54">
        <v>99</v>
      </c>
      <c r="G54">
        <v>65</v>
      </c>
      <c r="H54">
        <v>82</v>
      </c>
      <c r="I54">
        <v>28</v>
      </c>
      <c r="J54">
        <v>91</v>
      </c>
      <c r="K54">
        <v>44</v>
      </c>
      <c r="L54">
        <f t="shared" si="12"/>
        <v>68.1</v>
      </c>
      <c r="N54" t="s">
        <v>33</v>
      </c>
    </row>
    <row r="55" spans="1:14">
      <c r="A55" t="s">
        <v>21</v>
      </c>
      <c r="B55">
        <f t="shared" ref="B55:K55" si="13">B53-B50</f>
        <v>32.9499999999999</v>
      </c>
      <c r="C55">
        <f t="shared" si="13"/>
        <v>51.9</v>
      </c>
      <c r="D55">
        <f t="shared" si="13"/>
        <v>52.6800000000001</v>
      </c>
      <c r="E55">
        <f t="shared" si="13"/>
        <v>45.9100000000001</v>
      </c>
      <c r="F55">
        <f t="shared" si="13"/>
        <v>71.02</v>
      </c>
      <c r="G55">
        <f t="shared" si="13"/>
        <v>35.14</v>
      </c>
      <c r="H55">
        <f t="shared" si="13"/>
        <v>35.0599999999999</v>
      </c>
      <c r="I55">
        <f t="shared" si="13"/>
        <v>23.37</v>
      </c>
      <c r="J55">
        <f t="shared" si="13"/>
        <v>34.9400000000001</v>
      </c>
      <c r="K55">
        <f t="shared" si="13"/>
        <v>44.53</v>
      </c>
      <c r="L55">
        <f t="shared" si="12"/>
        <v>42.75</v>
      </c>
    </row>
    <row r="57" spans="1:14">
      <c r="A57" t="s">
        <v>34</v>
      </c>
      <c r="B57" t="s">
        <v>1</v>
      </c>
      <c r="C57" t="s">
        <v>2</v>
      </c>
      <c r="D57" t="s">
        <v>3</v>
      </c>
      <c r="E57" t="s">
        <v>4</v>
      </c>
      <c r="F57" t="s">
        <v>5</v>
      </c>
      <c r="G57" t="s">
        <v>6</v>
      </c>
      <c r="H57" t="s">
        <v>7</v>
      </c>
      <c r="I57" t="s">
        <v>8</v>
      </c>
      <c r="J57" t="s">
        <v>9</v>
      </c>
      <c r="K57" t="s">
        <v>10</v>
      </c>
      <c r="L57" t="s">
        <v>11</v>
      </c>
    </row>
    <row r="58" spans="1:14">
      <c r="A58" t="s">
        <v>12</v>
      </c>
      <c r="B58">
        <v>866.09</v>
      </c>
      <c r="C58">
        <v>859.91</v>
      </c>
      <c r="D58">
        <v>863.24</v>
      </c>
      <c r="E58">
        <v>867.07</v>
      </c>
      <c r="F58">
        <v>872.37</v>
      </c>
      <c r="G58">
        <v>870.16</v>
      </c>
      <c r="H58">
        <v>844.2</v>
      </c>
      <c r="I58">
        <v>869.94</v>
      </c>
      <c r="J58">
        <v>864.59</v>
      </c>
      <c r="K58">
        <v>878.53</v>
      </c>
      <c r="L58">
        <f t="shared" ref="L58:L63" si="14">AVERAGE(B58:K58)</f>
        <v>865.61</v>
      </c>
    </row>
    <row r="59" spans="1:14">
      <c r="A59" t="s">
        <v>14</v>
      </c>
      <c r="B59">
        <v>34.44</v>
      </c>
      <c r="C59">
        <v>34.04</v>
      </c>
      <c r="D59">
        <v>34.99</v>
      </c>
      <c r="E59">
        <v>35.31</v>
      </c>
      <c r="F59">
        <v>35.58</v>
      </c>
      <c r="G59">
        <v>34.82</v>
      </c>
      <c r="H59">
        <v>34.87</v>
      </c>
      <c r="I59">
        <v>35.14</v>
      </c>
      <c r="J59">
        <v>34.46</v>
      </c>
      <c r="K59">
        <v>34.45</v>
      </c>
      <c r="L59">
        <f t="shared" si="14"/>
        <v>34.81</v>
      </c>
    </row>
    <row r="60" spans="1:14">
      <c r="A60" t="s">
        <v>16</v>
      </c>
      <c r="B60">
        <v>10</v>
      </c>
      <c r="C60">
        <v>11</v>
      </c>
      <c r="D60">
        <v>11</v>
      </c>
      <c r="E60">
        <v>6</v>
      </c>
      <c r="F60">
        <v>10</v>
      </c>
      <c r="G60">
        <v>9</v>
      </c>
      <c r="H60">
        <v>7</v>
      </c>
      <c r="I60">
        <v>7</v>
      </c>
      <c r="J60">
        <v>6</v>
      </c>
      <c r="K60">
        <v>6</v>
      </c>
      <c r="L60">
        <f t="shared" si="14"/>
        <v>8.3</v>
      </c>
      <c r="N60" t="s">
        <v>23</v>
      </c>
    </row>
    <row r="61" spans="1:14">
      <c r="A61" t="s">
        <v>18</v>
      </c>
      <c r="B61">
        <v>1826.79</v>
      </c>
      <c r="C61">
        <v>1764.44</v>
      </c>
      <c r="D61">
        <v>1843.32</v>
      </c>
      <c r="E61">
        <v>1857.31</v>
      </c>
      <c r="F61">
        <v>1847.19</v>
      </c>
      <c r="G61">
        <v>1730.8</v>
      </c>
      <c r="H61">
        <v>1825.3</v>
      </c>
      <c r="I61">
        <v>1962.67</v>
      </c>
      <c r="J61">
        <v>1714.61</v>
      </c>
      <c r="K61">
        <v>1912.92</v>
      </c>
      <c r="L61">
        <f t="shared" si="14"/>
        <v>1828.535</v>
      </c>
    </row>
    <row r="62" spans="1:14">
      <c r="A62" t="s">
        <v>19</v>
      </c>
      <c r="B62">
        <v>63</v>
      </c>
      <c r="C62">
        <v>60</v>
      </c>
      <c r="D62">
        <v>90</v>
      </c>
      <c r="E62">
        <v>52</v>
      </c>
      <c r="F62">
        <v>92</v>
      </c>
      <c r="G62">
        <v>91</v>
      </c>
      <c r="H62">
        <v>78</v>
      </c>
      <c r="I62">
        <v>50</v>
      </c>
      <c r="J62">
        <v>88</v>
      </c>
      <c r="K62">
        <v>75</v>
      </c>
      <c r="L62">
        <f t="shared" si="14"/>
        <v>73.9</v>
      </c>
      <c r="N62" t="s">
        <v>35</v>
      </c>
    </row>
    <row r="63" spans="1:14">
      <c r="A63" t="s">
        <v>21</v>
      </c>
      <c r="B63">
        <f t="shared" ref="B63:K63" si="15">B61-B58</f>
        <v>960.7</v>
      </c>
      <c r="C63">
        <f t="shared" si="15"/>
        <v>904.53</v>
      </c>
      <c r="D63">
        <f t="shared" si="15"/>
        <v>980.08</v>
      </c>
      <c r="E63">
        <f t="shared" si="15"/>
        <v>990.24</v>
      </c>
      <c r="F63">
        <f t="shared" si="15"/>
        <v>974.82</v>
      </c>
      <c r="G63">
        <f t="shared" si="15"/>
        <v>860.64</v>
      </c>
      <c r="H63">
        <f t="shared" si="15"/>
        <v>981.1</v>
      </c>
      <c r="I63">
        <f t="shared" si="15"/>
        <v>1092.73</v>
      </c>
      <c r="J63">
        <f t="shared" si="15"/>
        <v>850.02</v>
      </c>
      <c r="K63">
        <f t="shared" si="15"/>
        <v>1034.39</v>
      </c>
      <c r="L63">
        <f t="shared" si="14"/>
        <v>962.925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帆</dc:creator>
  <cp:lastModifiedBy>林</cp:lastModifiedBy>
  <dcterms:created xsi:type="dcterms:W3CDTF">2026-05-29T13:29:00Z</dcterms:created>
  <dcterms:modified xsi:type="dcterms:W3CDTF">2026-05-30T02:59:13Z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751AF4B8D7244ABDBBAB3F70DA568A4A_11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